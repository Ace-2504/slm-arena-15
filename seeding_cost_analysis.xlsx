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ed cost estimate" sheetId="2" state="visible" r:id="rId2"/>
    <sheet name="Verification vs real" sheetId="3" state="visible" r:id="rId3"/>
    <sheet name="My suggestions" sheetId="4" state="visible" r:id="rId4"/>
    <sheet name="Playbook sugges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1F6F4F"/>
      <sz val="11"/>
    </font>
    <font>
      <name val="Arial"/>
      <color rgb="000000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pivotButton="0" quotePrefix="0" xfId="0"/>
    <xf numFmtId="164" fontId="6" fillId="0" borderId="1" pivotButton="0" quotePrefix="0" xfId="0"/>
    <xf numFmtId="164" fontId="3" fillId="0" borderId="1" pivotButton="0" quotePrefix="0" xfId="0"/>
    <xf numFmtId="0" fontId="3" fillId="5" borderId="1" pivotButton="0" quotePrefix="0" xfId="0"/>
    <xf numFmtId="164" fontId="4" fillId="0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4" fillId="2" borderId="1" pivotButton="0" quotePrefix="0" xfId="0"/>
    <xf numFmtId="0" fontId="4" fillId="3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seeding cost</author>
  </authors>
  <commentList>
    <comment ref="G5" authorId="0" shapeId="0">
      <text>
        <t>invoiced lineage (v1 11.54+ext 2.88+e2 27.47+e4 28.25). from-scratch; a true re-seed = whole pretraining lineage</t>
      </text>
    </comment>
    <comment ref="G6" authorId="0" shapeId="0">
      <text>
        <t>train_125m.train $0.61 split by wall-clock. bundled SFT+RAFT invoice, split 9.7:19.4 min</t>
      </text>
    </comment>
    <comment ref="G7" authorId="0" shapeId="0">
      <text>
        <t>train_125m.train $0.61 split by wall-clock. bundled SFT+RAFT invoice</t>
      </text>
    </comment>
    <comment ref="G8" authorId="0" shapeId="0">
      <text>
        <t>train_dpo.train_125m (exact invoice). exact line item</t>
      </text>
    </comment>
    <comment ref="G9" authorId="0" shapeId="0">
      <text>
        <t>train_ppo.train_125m $0.08 + reward share $0.02. PPO exact; reward $0.06 shared /3</t>
      </text>
    </comment>
    <comment ref="G11" authorId="0" shapeId="0">
      <text>
        <t>train_500m.train $2.67 split by wall-clock. bundled SFT+RAFT invoice, split 31.6:59.6 min</t>
      </text>
    </comment>
    <comment ref="G12" authorId="0" shapeId="0">
      <text>
        <t>train_500m.train $2.67 split by wall-clock. bundled SFT+RAFT invoice</t>
      </text>
    </comment>
    <comment ref="G13" authorId="0" shapeId="0">
      <text>
        <t>train_dpo.train_500m (exact invoice). exact line item</t>
      </text>
    </comment>
    <comment ref="G14" authorId="0" shapeId="0">
      <text>
        <t>train_ppo.train_500m $0.33 + reward share $0.02. PPO exact; reward shared</t>
      </text>
    </comment>
    <comment ref="G16" authorId="0" shapeId="0">
      <text>
        <t>train_gemma.train $16.66 split by wall-clock. bundled+RETRIES; split 202:140 min; clean run est ~$7.07</t>
      </text>
    </comment>
    <comment ref="G17" authorId="0" shapeId="0">
      <text>
        <t>train_gemma.train $16.66 split by wall-clock. bundled+RETRIES; clean run est ~$4.90</t>
      </text>
    </comment>
    <comment ref="G18" authorId="0" shapeId="0">
      <text>
        <t>train_dpo.train_gemma (exact invoice). exact line item</t>
      </text>
    </comment>
    <comment ref="G19" authorId="0" shapeId="0">
      <text>
        <t>train_ppo.train_gemma $4.23 + reward share $0.02. PPO exact; reward shared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Seeding (Experiment 5) cost analysis — 15 models</t>
        </is>
      </c>
    </row>
    <row r="2">
      <c r="A2" s="2" t="inlineStr">
        <is>
          <t>How much multi-seed re-training costs, estimated then verified against real invoiced Modal spend.</t>
        </is>
      </c>
    </row>
    <row r="4">
      <c r="A4" s="3" t="inlineStr">
        <is>
          <t>• A 'seed' = re-run a model's training stage once more with a new RNG seed, from its existing parent checkpoint.</t>
        </is>
      </c>
    </row>
    <row r="5">
      <c r="A5" s="3" t="inlineStr">
        <is>
          <t>• Costs are anchored to REAL invoiced Modal line items, not estimates. A naive wall-clock x GPU-rate estimate</t>
        </is>
      </c>
    </row>
    <row r="6">
      <c r="A6" s="3" t="inlineStr">
        <is>
          <t xml:space="preserve">  under-counts by 1.4–2.2x (container startup, checkpoint I/O, Gemma retries) — see 'Verification vs real'.</t>
        </is>
      </c>
    </row>
    <row r="7">
      <c r="A7" s="3" t="inlineStr">
        <is>
          <t>• 500M and Gemma BASE models are imported — they cannot be re-seeded by us (marked N/A).</t>
        </is>
      </c>
    </row>
    <row r="8">
      <c r="A8" s="3" t="inlineStr"/>
    </row>
    <row r="9">
      <c r="A9" s="4" t="inlineStr">
        <is>
          <t>RECOMMENDATION (Claude):</t>
        </is>
      </c>
    </row>
    <row r="10">
      <c r="A10" s="3" t="inlineStr">
        <is>
          <t xml:space="preserve">  CORE — seed DPO + RLAIF on all 3 families, 2 extra seeds each  ≈  $10   ← do this</t>
        </is>
      </c>
    </row>
    <row r="11">
      <c r="A11" s="3" t="inlineStr">
        <is>
          <t xml:space="preserve">  OPTIONAL — add 125M+500M SFT+RAFT (cheap L4), 2 seeds each     ≈  +$6.6</t>
        </is>
      </c>
    </row>
    <row r="12">
      <c r="A12" s="3" t="inlineStr">
        <is>
          <t xml:space="preserve">  SKIP — Gemma SFT/RAFT (A100, ~$33 for 2) and base/pretraining re-seed ($70+ / impossible)</t>
        </is>
      </c>
    </row>
    <row r="13">
      <c r="A13" s="3" t="inlineStr"/>
    </row>
    <row r="14">
      <c r="A14" s="3" t="inlineStr">
        <is>
          <t>Full cost of seeding EVERY seedable stage once (all 15 models, 1 seed each):</t>
        </is>
      </c>
    </row>
    <row r="15">
      <c r="A15" s="3" t="inlineStr">
        <is>
          <t xml:space="preserve">  = $95.31 for one seed of all 13 seedable stages (incl. the $70 125M-base lineage). Excluding base: $25.17.</t>
        </is>
      </c>
    </row>
    <row r="16">
      <c r="A16" s="4" t="inlineStr">
        <is>
          <t xml:space="preserve">  CORE (DPO+RLAIF x3 families) one seed = $5.23; at 2 extra seeds = $10.46.</t>
        </is>
      </c>
    </row>
    <row r="18">
      <c r="A18" s="5" t="inlineStr">
        <is>
          <t>DECISION — LOCKED (2026-08-02):</t>
        </is>
      </c>
    </row>
    <row r="19">
      <c r="A19" s="4" t="inlineStr">
        <is>
          <t xml:space="preserve">  Run 3 SEED RUNS of ALL 12 non-base models (QA-SFT, RAFT, DPO, RLAIF x 125M/500M/Gemma).</t>
        </is>
      </c>
    </row>
    <row r="20">
      <c r="A20" s="3" t="inlineStr">
        <is>
          <t xml:space="preserve">  Cost = 3 x $25.17 (one seed of all non-base) = $75.51.</t>
        </is>
      </c>
    </row>
    <row r="21">
      <c r="A21" s="3" t="inlineStr">
        <is>
          <t xml:space="preserve">  Funded by the 3 alternate Modal profiles (~$90 combined) — well under budget.</t>
        </is>
      </c>
    </row>
    <row r="22">
      <c r="A22" s="3" t="inlineStr">
        <is>
          <t xml:space="preserve">  Allocation: one full seed per profile, run in parallel (each ~$25.17 &lt; ~$30/profile).</t>
        </is>
      </c>
    </row>
    <row r="23">
      <c r="A23" s="3" t="inlineStr">
        <is>
          <t xml:space="preserve">  Note: $75.51 is conservative — Gemma per-seed is anchored to a retry-inflated invoice;</t>
        </is>
      </c>
    </row>
    <row r="24">
      <c r="A24" s="3" t="inlineStr">
        <is>
          <t xml:space="preserve">        clean seeded runs may land ~$10 lower (~$65).</t>
        </is>
      </c>
    </row>
    <row r="25">
      <c r="A25" s="6" t="inlineStr">
        <is>
          <t xml:space="preserve">  TOTAL COMMITTED: $75.51  of  ~$90 budget</t>
        </is>
      </c>
    </row>
    <row r="27">
      <c r="A27" s="2" t="inlineStr">
        <is>
          <t>Sheets: 'Seed cost estimate' (per model×stage) · 'Verification vs real' · 'My suggestions' · 'Playbook suggestion'.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7" customWidth="1" min="4" max="4"/>
    <col width="15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Cost of ONE additional seed, per model x stage</t>
        </is>
      </c>
    </row>
    <row r="2">
      <c r="A2" s="2" t="inlineStr">
        <is>
          <t>Naive estimate = training wall-clock x Modal GPU rate. Real-anchored seed cost = the actual invoiced cost of that run (what a re-seed will truly cost). n_seeds is editable in D2.</t>
        </is>
      </c>
      <c r="G2" s="4" t="inlineStr">
        <is>
          <t>n_seeds -&gt;</t>
        </is>
      </c>
      <c r="H2" s="7" t="n">
        <v>2</v>
      </c>
    </row>
    <row r="4">
      <c r="A4" s="8" t="inlineStr">
        <is>
          <t>Model</t>
        </is>
      </c>
      <c r="B4" s="8" t="inlineStr">
        <is>
          <t>Family</t>
        </is>
      </c>
      <c r="C4" s="8" t="inlineStr">
        <is>
          <t>Stage</t>
        </is>
      </c>
      <c r="D4" s="8" t="inlineStr">
        <is>
          <t>GPU</t>
        </is>
      </c>
      <c r="E4" s="8" t="inlineStr">
        <is>
          <t>Wall-clock (min)</t>
        </is>
      </c>
      <c r="F4" s="8" t="inlineStr">
        <is>
          <t>Naive est (wall x rate)</t>
        </is>
      </c>
      <c r="G4" s="8" t="inlineStr">
        <is>
          <t>Real-anchored 1-seed $</t>
        </is>
      </c>
      <c r="H4" s="8" t="inlineStr">
        <is>
          <t>Total for n seeds</t>
        </is>
      </c>
    </row>
    <row r="5">
      <c r="A5" s="9" t="inlineStr">
        <is>
          <t>125m-base</t>
        </is>
      </c>
      <c r="B5" s="10" t="inlineStr">
        <is>
          <t>125M</t>
        </is>
      </c>
      <c r="C5" s="10" t="inlineStr">
        <is>
          <t>Base / pretrain</t>
        </is>
      </c>
      <c r="D5" s="10" t="inlineStr">
        <is>
          <t>A100</t>
        </is>
      </c>
      <c r="E5" s="10" t="inlineStr">
        <is>
          <t>—</t>
        </is>
      </c>
      <c r="F5" s="10" t="inlineStr">
        <is>
          <t>—</t>
        </is>
      </c>
      <c r="G5" s="11" t="n">
        <v>70.14</v>
      </c>
      <c r="H5" s="12">
        <f>G5*$H$2</f>
        <v/>
      </c>
    </row>
    <row r="6">
      <c r="A6" s="9" t="inlineStr">
        <is>
          <t>125m-qa</t>
        </is>
      </c>
      <c r="B6" s="10" t="inlineStr">
        <is>
          <t>125M</t>
        </is>
      </c>
      <c r="C6" s="10" t="inlineStr">
        <is>
          <t>QA-SFT</t>
        </is>
      </c>
      <c r="D6" s="10" t="inlineStr">
        <is>
          <t>L4</t>
        </is>
      </c>
      <c r="E6" s="10" t="n">
        <v>9.699999999999999</v>
      </c>
      <c r="F6" s="12">
        <f>E6/60*0.8</f>
        <v/>
      </c>
      <c r="G6" s="11" t="n">
        <v>0.2</v>
      </c>
      <c r="H6" s="12">
        <f>G6*$H$2</f>
        <v/>
      </c>
    </row>
    <row r="7">
      <c r="A7" s="9" t="inlineStr">
        <is>
          <t>125m-raft</t>
        </is>
      </c>
      <c r="B7" s="10" t="inlineStr">
        <is>
          <t>125M</t>
        </is>
      </c>
      <c r="C7" s="10" t="inlineStr">
        <is>
          <t>RAFT</t>
        </is>
      </c>
      <c r="D7" s="10" t="inlineStr">
        <is>
          <t>L4</t>
        </is>
      </c>
      <c r="E7" s="10" t="n">
        <v>19.4</v>
      </c>
      <c r="F7" s="12">
        <f>E7/60*0.8</f>
        <v/>
      </c>
      <c r="G7" s="11" t="n">
        <v>0.41</v>
      </c>
      <c r="H7" s="12">
        <f>G7*$H$2</f>
        <v/>
      </c>
    </row>
    <row r="8">
      <c r="A8" s="9" t="inlineStr">
        <is>
          <t>125m-dpo</t>
        </is>
      </c>
      <c r="B8" s="10" t="inlineStr">
        <is>
          <t>125M</t>
        </is>
      </c>
      <c r="C8" s="10" t="inlineStr">
        <is>
          <t>DPO</t>
        </is>
      </c>
      <c r="D8" s="10" t="inlineStr">
        <is>
          <t>L4</t>
        </is>
      </c>
      <c r="E8" s="10" t="inlineStr">
        <is>
          <t>—</t>
        </is>
      </c>
      <c r="F8" s="10" t="inlineStr">
        <is>
          <t>—</t>
        </is>
      </c>
      <c r="G8" s="11" t="n">
        <v>0.02</v>
      </c>
      <c r="H8" s="12">
        <f>G8*$H$2</f>
        <v/>
      </c>
    </row>
    <row r="9">
      <c r="A9" s="9" t="inlineStr">
        <is>
          <t>125m-rlaif</t>
        </is>
      </c>
      <c r="B9" s="10" t="inlineStr">
        <is>
          <t>125M</t>
        </is>
      </c>
      <c r="C9" s="10" t="inlineStr">
        <is>
          <t>RLAIF (reward+PPO)</t>
        </is>
      </c>
      <c r="D9" s="10" t="inlineStr">
        <is>
          <t>L4</t>
        </is>
      </c>
      <c r="E9" s="10" t="inlineStr">
        <is>
          <t>—</t>
        </is>
      </c>
      <c r="F9" s="10" t="inlineStr">
        <is>
          <t>—</t>
        </is>
      </c>
      <c r="G9" s="11" t="n">
        <v>0.1</v>
      </c>
      <c r="H9" s="12">
        <f>G9*$H$2</f>
        <v/>
      </c>
    </row>
    <row r="10">
      <c r="A10" s="9" t="inlineStr">
        <is>
          <t>500m-base</t>
        </is>
      </c>
      <c r="B10" s="10" t="inlineStr">
        <is>
          <t>500M</t>
        </is>
      </c>
      <c r="C10" s="10" t="inlineStr">
        <is>
          <t>Base / pretrain</t>
        </is>
      </c>
      <c r="D10" s="10" t="inlineStr">
        <is>
          <t>-</t>
        </is>
      </c>
      <c r="E10" s="10" t="inlineStr">
        <is>
          <t>—</t>
        </is>
      </c>
      <c r="F10" s="10" t="inlineStr">
        <is>
          <t>—</t>
        </is>
      </c>
      <c r="G10" s="13" t="inlineStr">
        <is>
          <t>N/A</t>
        </is>
      </c>
      <c r="H10" s="13" t="inlineStr">
        <is>
          <t>N/A</t>
        </is>
      </c>
    </row>
    <row r="11">
      <c r="A11" s="9" t="inlineStr">
        <is>
          <t>500m-qa</t>
        </is>
      </c>
      <c r="B11" s="10" t="inlineStr">
        <is>
          <t>500M</t>
        </is>
      </c>
      <c r="C11" s="10" t="inlineStr">
        <is>
          <t>QA-SFT</t>
        </is>
      </c>
      <c r="D11" s="10" t="inlineStr">
        <is>
          <t>L4</t>
        </is>
      </c>
      <c r="E11" s="10" t="n">
        <v>31.6</v>
      </c>
      <c r="F11" s="12">
        <f>E11/60*0.8</f>
        <v/>
      </c>
      <c r="G11" s="11" t="n">
        <v>0.93</v>
      </c>
      <c r="H11" s="12">
        <f>G11*$H$2</f>
        <v/>
      </c>
    </row>
    <row r="12">
      <c r="A12" s="9" t="inlineStr">
        <is>
          <t>500m-raft</t>
        </is>
      </c>
      <c r="B12" s="10" t="inlineStr">
        <is>
          <t>500M</t>
        </is>
      </c>
      <c r="C12" s="10" t="inlineStr">
        <is>
          <t>RAFT</t>
        </is>
      </c>
      <c r="D12" s="10" t="inlineStr">
        <is>
          <t>L4</t>
        </is>
      </c>
      <c r="E12" s="10" t="n">
        <v>59.6</v>
      </c>
      <c r="F12" s="12">
        <f>E12/60*0.8</f>
        <v/>
      </c>
      <c r="G12" s="11" t="n">
        <v>1.74</v>
      </c>
      <c r="H12" s="12">
        <f>G12*$H$2</f>
        <v/>
      </c>
    </row>
    <row r="13">
      <c r="A13" s="9" t="inlineStr">
        <is>
          <t>500m-dpo</t>
        </is>
      </c>
      <c r="B13" s="10" t="inlineStr">
        <is>
          <t>500M</t>
        </is>
      </c>
      <c r="C13" s="10" t="inlineStr">
        <is>
          <t>DPO</t>
        </is>
      </c>
      <c r="D13" s="10" t="inlineStr">
        <is>
          <t>L4</t>
        </is>
      </c>
      <c r="E13" s="10" t="inlineStr">
        <is>
          <t>—</t>
        </is>
      </c>
      <c r="F13" s="10" t="inlineStr">
        <is>
          <t>—</t>
        </is>
      </c>
      <c r="G13" s="11" t="n">
        <v>0.08</v>
      </c>
      <c r="H13" s="12">
        <f>G13*$H$2</f>
        <v/>
      </c>
    </row>
    <row r="14">
      <c r="A14" s="9" t="inlineStr">
        <is>
          <t>500m-rlaif</t>
        </is>
      </c>
      <c r="B14" s="10" t="inlineStr">
        <is>
          <t>500M</t>
        </is>
      </c>
      <c r="C14" s="10" t="inlineStr">
        <is>
          <t>RLAIF (reward+PPO)</t>
        </is>
      </c>
      <c r="D14" s="10" t="inlineStr">
        <is>
          <t>L4</t>
        </is>
      </c>
      <c r="E14" s="10" t="inlineStr">
        <is>
          <t>—</t>
        </is>
      </c>
      <c r="F14" s="10" t="inlineStr">
        <is>
          <t>—</t>
        </is>
      </c>
      <c r="G14" s="11" t="n">
        <v>0.35</v>
      </c>
      <c r="H14" s="12">
        <f>G14*$H$2</f>
        <v/>
      </c>
    </row>
    <row r="15">
      <c r="A15" s="9" t="inlineStr">
        <is>
          <t>gemma-base</t>
        </is>
      </c>
      <c r="B15" s="10" t="inlineStr">
        <is>
          <t>Gemma 2B</t>
        </is>
      </c>
      <c r="C15" s="10" t="inlineStr">
        <is>
          <t>Base / pretrain</t>
        </is>
      </c>
      <c r="D15" s="10" t="inlineStr">
        <is>
          <t>-</t>
        </is>
      </c>
      <c r="E15" s="10" t="inlineStr">
        <is>
          <t>—</t>
        </is>
      </c>
      <c r="F15" s="10" t="inlineStr">
        <is>
          <t>—</t>
        </is>
      </c>
      <c r="G15" s="13" t="inlineStr">
        <is>
          <t>N/A</t>
        </is>
      </c>
      <c r="H15" s="13" t="inlineStr">
        <is>
          <t>N/A</t>
        </is>
      </c>
    </row>
    <row r="16">
      <c r="A16" s="9" t="inlineStr">
        <is>
          <t>gemma-qa</t>
        </is>
      </c>
      <c r="B16" s="10" t="inlineStr">
        <is>
          <t>Gemma 2B</t>
        </is>
      </c>
      <c r="C16" s="10" t="inlineStr">
        <is>
          <t>QA-SFT</t>
        </is>
      </c>
      <c r="D16" s="10" t="inlineStr">
        <is>
          <t>A100</t>
        </is>
      </c>
      <c r="E16" s="10" t="n">
        <v>202</v>
      </c>
      <c r="F16" s="12">
        <f>E16/60*2.1</f>
        <v/>
      </c>
      <c r="G16" s="11" t="n">
        <v>9.84</v>
      </c>
      <c r="H16" s="12">
        <f>G16*$H$2</f>
        <v/>
      </c>
    </row>
    <row r="17">
      <c r="A17" s="9" t="inlineStr">
        <is>
          <t>gemma-raft</t>
        </is>
      </c>
      <c r="B17" s="10" t="inlineStr">
        <is>
          <t>Gemma 2B</t>
        </is>
      </c>
      <c r="C17" s="10" t="inlineStr">
        <is>
          <t>RAFT</t>
        </is>
      </c>
      <c r="D17" s="10" t="inlineStr">
        <is>
          <t>A100</t>
        </is>
      </c>
      <c r="E17" s="10" t="n">
        <v>140</v>
      </c>
      <c r="F17" s="12">
        <f>E17/60*2.1</f>
        <v/>
      </c>
      <c r="G17" s="11" t="n">
        <v>6.82</v>
      </c>
      <c r="H17" s="12">
        <f>G17*$H$2</f>
        <v/>
      </c>
    </row>
    <row r="18">
      <c r="A18" s="9" t="inlineStr">
        <is>
          <t>gemma-dpo</t>
        </is>
      </c>
      <c r="B18" s="10" t="inlineStr">
        <is>
          <t>Gemma 2B</t>
        </is>
      </c>
      <c r="C18" s="10" t="inlineStr">
        <is>
          <t>DPO</t>
        </is>
      </c>
      <c r="D18" s="10" t="inlineStr">
        <is>
          <t>A100</t>
        </is>
      </c>
      <c r="E18" s="10" t="inlineStr">
        <is>
          <t>—</t>
        </is>
      </c>
      <c r="F18" s="10" t="inlineStr">
        <is>
          <t>—</t>
        </is>
      </c>
      <c r="G18" s="11" t="n">
        <v>0.43</v>
      </c>
      <c r="H18" s="12">
        <f>G18*$H$2</f>
        <v/>
      </c>
    </row>
    <row r="19">
      <c r="A19" s="9" t="inlineStr">
        <is>
          <t>gemma-rlaif</t>
        </is>
      </c>
      <c r="B19" s="10" t="inlineStr">
        <is>
          <t>Gemma 2B</t>
        </is>
      </c>
      <c r="C19" s="10" t="inlineStr">
        <is>
          <t>RLAIF (reward+PPO)</t>
        </is>
      </c>
      <c r="D19" s="10" t="inlineStr">
        <is>
          <t>A100</t>
        </is>
      </c>
      <c r="E19" s="10" t="inlineStr">
        <is>
          <t>—</t>
        </is>
      </c>
      <c r="F19" s="10" t="inlineStr">
        <is>
          <t>—</t>
        </is>
      </c>
      <c r="G19" s="11" t="n">
        <v>4.25</v>
      </c>
      <c r="H19" s="12">
        <f>G19*$H$2</f>
        <v/>
      </c>
    </row>
    <row r="20">
      <c r="A20" s="9" t="inlineStr">
        <is>
          <t>TOTAL (all seedable stages)</t>
        </is>
      </c>
      <c r="G20" s="14">
        <f>SUM(G5:G19)</f>
        <v/>
      </c>
      <c r="H20" s="14">
        <f>SUM(H5:H19)</f>
        <v/>
      </c>
    </row>
    <row r="22">
      <c r="A22" s="3" t="inlineStr">
        <is>
          <t>Blue = real invoiced (editable). Red N/A = imported base (500M, Gemma) — we did not</t>
        </is>
      </c>
    </row>
    <row r="23">
      <c r="A23" s="3" t="inlineStr">
        <is>
          <t>pretrain it, so it cannot be re-seeded. 125M base is seedable but a re-seed means the</t>
        </is>
      </c>
    </row>
    <row r="24">
      <c r="A24" s="3" t="inlineStr">
        <is>
          <t>whole pretraining lineage ($70) — see 'My suggestions' for why that is not worth it.</t>
        </is>
      </c>
    </row>
    <row r="25">
      <c r="A25" s="3" t="inlineStr">
        <is>
          <t>Hover the blue cells for each figure's exact invoice source.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5" customWidth="1" min="4" max="4"/>
    <col width="13" customWidth="1" min="5" max="5"/>
    <col width="30" customWidth="1" min="6" max="6"/>
    <col width="34" customWidth="1" min="7" max="7"/>
  </cols>
  <sheetData>
    <row r="1">
      <c r="A1" s="1" t="inlineStr">
        <is>
          <t>Estimate vs real invoiced — does the naive estimate hold up?</t>
        </is>
      </c>
    </row>
    <row r="2">
      <c r="A2" s="2" t="inlineStr">
        <is>
          <t>The naive wall-clock x rate estimate UNDER-counts, because Modal also bills container startup, image pull and checkpoint I/O (and Gemma includes retries). Conclusion: budget seeds from the invoiced figures, not from wall-clock x rate.</t>
        </is>
      </c>
    </row>
    <row r="4">
      <c r="A4" s="8" t="inlineStr">
        <is>
          <t>Family</t>
        </is>
      </c>
      <c r="B4" s="8" t="inlineStr">
        <is>
          <t>Stage(s)</t>
        </is>
      </c>
      <c r="C4" s="8" t="inlineStr">
        <is>
          <t>Naive est $</t>
        </is>
      </c>
      <c r="D4" s="8" t="inlineStr">
        <is>
          <t>Real invoiced $</t>
        </is>
      </c>
      <c r="E4" s="8" t="inlineStr">
        <is>
          <t>Invoiced / est</t>
        </is>
      </c>
      <c r="F4" s="8" t="inlineStr">
        <is>
          <t>What the invoice is</t>
        </is>
      </c>
      <c r="G4" s="8" t="inlineStr">
        <is>
          <t>Verdict</t>
        </is>
      </c>
    </row>
    <row r="5" ht="26" customHeight="1">
      <c r="A5" s="9" t="inlineStr">
        <is>
          <t>125M</t>
        </is>
      </c>
      <c r="B5" s="10" t="inlineStr">
        <is>
          <t>SFT + RAFT (bundled)</t>
        </is>
      </c>
      <c r="C5" s="12" t="n">
        <v>0.39</v>
      </c>
      <c r="D5" s="11" t="n">
        <v>0.61</v>
      </c>
      <c r="E5" s="15">
        <f>D5/C5</f>
        <v/>
      </c>
      <c r="F5" s="16" t="inlineStr">
        <is>
          <t>train_125m.train</t>
        </is>
      </c>
      <c r="G5" s="17" t="inlineStr">
        <is>
          <t>est under-counts 1.6x — use invoiced</t>
        </is>
      </c>
    </row>
    <row r="6" ht="26" customHeight="1">
      <c r="A6" s="9" t="inlineStr">
        <is>
          <t>500M</t>
        </is>
      </c>
      <c r="B6" s="10" t="inlineStr">
        <is>
          <t>SFT + RAFT (bundled)</t>
        </is>
      </c>
      <c r="C6" s="12" t="n">
        <v>1.21</v>
      </c>
      <c r="D6" s="11" t="n">
        <v>2.67</v>
      </c>
      <c r="E6" s="15">
        <f>D6/C6</f>
        <v/>
      </c>
      <c r="F6" s="16" t="inlineStr">
        <is>
          <t>train_500m.train</t>
        </is>
      </c>
      <c r="G6" s="17" t="inlineStr">
        <is>
          <t>est under-counts 2.2x — use invoiced</t>
        </is>
      </c>
    </row>
    <row r="7" ht="26" customHeight="1">
      <c r="A7" s="9" t="inlineStr">
        <is>
          <t>Gemma 2B</t>
        </is>
      </c>
      <c r="B7" s="10" t="inlineStr">
        <is>
          <t>SFT + RAFT (bundled)</t>
        </is>
      </c>
      <c r="C7" s="12" t="n">
        <v>11.97</v>
      </c>
      <c r="D7" s="11" t="n">
        <v>16.66</v>
      </c>
      <c r="E7" s="15">
        <f>D7/C7</f>
        <v/>
      </c>
      <c r="F7" s="16" t="inlineStr">
        <is>
          <t>train_gemma.train (incl retries)</t>
        </is>
      </c>
      <c r="G7" s="17" t="inlineStr">
        <is>
          <t>invoice inflated by retries; clean run ~$12</t>
        </is>
      </c>
    </row>
    <row r="8" ht="26" customHeight="1">
      <c r="A8" s="9" t="inlineStr">
        <is>
          <t>125M</t>
        </is>
      </c>
      <c r="B8" s="10" t="inlineStr">
        <is>
          <t>DPO</t>
        </is>
      </c>
      <c r="C8" s="12" t="n">
        <v>0.02</v>
      </c>
      <c r="D8" s="11" t="n">
        <v>0.02</v>
      </c>
      <c r="E8" s="15">
        <f>D8/C8</f>
        <v/>
      </c>
      <c r="F8" s="16" t="inlineStr">
        <is>
          <t>train_dpo.train_125m</t>
        </is>
      </c>
      <c r="G8" s="18" t="inlineStr">
        <is>
          <t>exact — estimate = invoice</t>
        </is>
      </c>
    </row>
    <row r="9" ht="26" customHeight="1">
      <c r="A9" s="9" t="inlineStr">
        <is>
          <t>125M</t>
        </is>
      </c>
      <c r="B9" s="10" t="inlineStr">
        <is>
          <t>RLAIF (PPO)</t>
        </is>
      </c>
      <c r="C9" s="12" t="n">
        <v>0.08</v>
      </c>
      <c r="D9" s="11" t="n">
        <v>0.08</v>
      </c>
      <c r="E9" s="15">
        <f>D9/C9</f>
        <v/>
      </c>
      <c r="F9" s="16" t="inlineStr">
        <is>
          <t>train_ppo.train_125m</t>
        </is>
      </c>
      <c r="G9" s="18" t="inlineStr">
        <is>
          <t>exact</t>
        </is>
      </c>
    </row>
    <row r="10" ht="26" customHeight="1">
      <c r="A10" s="9" t="inlineStr">
        <is>
          <t>500M</t>
        </is>
      </c>
      <c r="B10" s="10" t="inlineStr">
        <is>
          <t>DPO</t>
        </is>
      </c>
      <c r="C10" s="12" t="n">
        <v>0.08</v>
      </c>
      <c r="D10" s="11" t="n">
        <v>0.08</v>
      </c>
      <c r="E10" s="15">
        <f>D10/C10</f>
        <v/>
      </c>
      <c r="F10" s="16" t="inlineStr">
        <is>
          <t>train_dpo.train_500m</t>
        </is>
      </c>
      <c r="G10" s="18" t="inlineStr">
        <is>
          <t>exact</t>
        </is>
      </c>
    </row>
    <row r="11" ht="26" customHeight="1">
      <c r="A11" s="9" t="inlineStr">
        <is>
          <t>500M</t>
        </is>
      </c>
      <c r="B11" s="10" t="inlineStr">
        <is>
          <t>RLAIF (PPO)</t>
        </is>
      </c>
      <c r="C11" s="12" t="n">
        <v>0.33</v>
      </c>
      <c r="D11" s="11" t="n">
        <v>0.33</v>
      </c>
      <c r="E11" s="15">
        <f>D11/C11</f>
        <v/>
      </c>
      <c r="F11" s="16" t="inlineStr">
        <is>
          <t>train_ppo.train_500m</t>
        </is>
      </c>
      <c r="G11" s="18" t="inlineStr">
        <is>
          <t>exact</t>
        </is>
      </c>
    </row>
    <row r="12" ht="26" customHeight="1">
      <c r="A12" s="9" t="inlineStr">
        <is>
          <t>Gemma 2B</t>
        </is>
      </c>
      <c r="B12" s="10" t="inlineStr">
        <is>
          <t>DPO</t>
        </is>
      </c>
      <c r="C12" s="12" t="n">
        <v>0.43</v>
      </c>
      <c r="D12" s="11" t="n">
        <v>0.43</v>
      </c>
      <c r="E12" s="15">
        <f>D12/C12</f>
        <v/>
      </c>
      <c r="F12" s="16" t="inlineStr">
        <is>
          <t>train_dpo.train_gemma</t>
        </is>
      </c>
      <c r="G12" s="18" t="inlineStr">
        <is>
          <t>exact</t>
        </is>
      </c>
    </row>
    <row r="13" ht="26" customHeight="1">
      <c r="A13" s="9" t="inlineStr">
        <is>
          <t>Gemma 2B</t>
        </is>
      </c>
      <c r="B13" s="10" t="inlineStr">
        <is>
          <t>RLAIF (PPO)</t>
        </is>
      </c>
      <c r="C13" s="12" t="n">
        <v>4.23</v>
      </c>
      <c r="D13" s="11" t="n">
        <v>4.23</v>
      </c>
      <c r="E13" s="15">
        <f>D13/C13</f>
        <v/>
      </c>
      <c r="F13" s="16" t="inlineStr">
        <is>
          <t>train_ppo.train_gemma</t>
        </is>
      </c>
      <c r="G13" s="18" t="inlineStr">
        <is>
          <t>exact</t>
        </is>
      </c>
    </row>
    <row r="14" ht="26" customHeight="1">
      <c r="A14" s="9" t="inlineStr">
        <is>
          <t>shared</t>
        </is>
      </c>
      <c r="B14" s="10" t="inlineStr">
        <is>
          <t>Reward model (/3 RLAIF)</t>
        </is>
      </c>
      <c r="C14" s="12" t="n">
        <v>0.06</v>
      </c>
      <c r="D14" s="11" t="n">
        <v>0.06</v>
      </c>
      <c r="E14" s="15">
        <f>D14/C14</f>
        <v/>
      </c>
      <c r="F14" s="16" t="inlineStr">
        <is>
          <t>train_reward.train</t>
        </is>
      </c>
      <c r="G14" s="18" t="inlineStr">
        <is>
          <t>exact; $0.02 per RLAIF seed</t>
        </is>
      </c>
    </row>
    <row r="16" ht="42" customHeight="1">
      <c r="A16" s="19" t="inlineStr">
        <is>
          <t>Bottom line: alignment stages are exact invoiced figures (trust them). SFT/RAFT come from real bundled invoices split by real wall-clock. A naive wall-clock x rate estimate is 1.4-2.2x too low, so it is NOT used for budgeting.</t>
        </is>
      </c>
    </row>
  </sheetData>
  <mergeCells count="1"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What to actually seed (Claude's recommendation)</t>
        </is>
      </c>
    </row>
    <row r="2">
      <c r="A2" s="2" t="inlineStr">
        <is>
          <t>Seed the stages whose variance the paper actually claims: the ALIGNMENT effects (fabrication jump, DPO/RLAIF deltas). With no deadline, the cheap core is worth doing in full. n_seeds (extra seeds per run) editable in C2.</t>
        </is>
      </c>
      <c r="E2" s="4" t="inlineStr">
        <is>
          <t>n_seeds -&gt;</t>
        </is>
      </c>
      <c r="F2" s="7" t="n">
        <v>2</v>
      </c>
    </row>
    <row r="4">
      <c r="A4" s="8" t="inlineStr">
        <is>
          <t>Tier</t>
        </is>
      </c>
      <c r="B4" s="8" t="inlineStr">
        <is>
          <t>Runs to seed</t>
        </is>
      </c>
      <c r="C4" s="8" t="inlineStr">
        <is>
          <t>1-seed $</t>
        </is>
      </c>
      <c r="D4" s="8" t="inlineStr">
        <is>
          <t>× n seeds</t>
        </is>
      </c>
      <c r="E4" s="8" t="inlineStr">
        <is>
          <t>Rationale</t>
        </is>
      </c>
    </row>
    <row r="5" ht="42" customHeight="1">
      <c r="A5" s="20" t="inlineStr">
        <is>
          <t>CORE ✓</t>
        </is>
      </c>
      <c r="B5" s="16" t="inlineStr">
        <is>
          <t>DPO + RLAIF, all 3 families (125M+500M+Gemma)</t>
        </is>
      </c>
      <c r="C5" s="11" t="n">
        <v>5.23</v>
      </c>
      <c r="D5" s="12">
        <f>C5*$F$2</f>
        <v/>
      </c>
      <c r="E5" s="16" t="inlineStr">
        <is>
          <t>Directly backs the paper's headline (fabrication jump) + alignment deltas across every size. Cheapest high-value seeding.</t>
        </is>
      </c>
    </row>
    <row r="6" ht="42" customHeight="1">
      <c r="A6" s="21" t="inlineStr">
        <is>
          <t>OPTIONAL</t>
        </is>
      </c>
      <c r="B6" s="16" t="inlineStr">
        <is>
          <t>SFT + RAFT on 125M + 500M only (L4)</t>
        </is>
      </c>
      <c r="C6" s="11" t="n">
        <v>3.28</v>
      </c>
      <c r="D6" s="12">
        <f>C6*$F$2</f>
        <v/>
      </c>
      <c r="E6" s="16" t="inlineStr">
        <is>
          <t>Shows the SFT/RAFT baselines are stable, on cheap L4 GPUs. Add if a reviewer questions SFT variance.</t>
        </is>
      </c>
    </row>
    <row r="7" ht="42" customHeight="1">
      <c r="A7" s="22" t="inlineStr">
        <is>
          <t>SKIP ✗</t>
        </is>
      </c>
      <c r="B7" s="16" t="inlineStr">
        <is>
          <t>SFT + RAFT on Gemma (A100)</t>
        </is>
      </c>
      <c r="C7" s="11" t="n">
        <v>16.66</v>
      </c>
      <c r="D7" s="12">
        <f>C7*$F$2</f>
        <v/>
      </c>
      <c r="E7" s="16" t="inlineStr">
        <is>
          <t>Expensive A100 runs; SFT/RAFT variance is not the paper's claim. Do only on direct request.</t>
        </is>
      </c>
    </row>
    <row r="8" ht="42" customHeight="1">
      <c r="A8" s="22" t="inlineStr">
        <is>
          <t>SKIP ✗</t>
        </is>
      </c>
      <c r="B8" s="16" t="inlineStr">
        <is>
          <t>Base / pretraining re-seed</t>
        </is>
      </c>
      <c r="C8" s="11" t="n">
        <v>70.14</v>
      </c>
      <c r="D8" s="12">
        <f>C8*$F$2</f>
        <v/>
      </c>
      <c r="E8" s="16" t="inlineStr">
        <is>
          <t>500M &amp; Gemma bases are imported (impossible). 125M base = a whole $70 pretraining lineage; pretraining variance is not this paper's subject.</t>
        </is>
      </c>
    </row>
    <row r="9">
      <c r="A9" s="9" t="inlineStr">
        <is>
          <t>CORE total</t>
        </is>
      </c>
      <c r="D9" s="14">
        <f>D5</f>
        <v/>
      </c>
      <c r="E9" s="9" t="inlineStr">
        <is>
          <t>the recommended spend — everything else is optional</t>
        </is>
      </c>
    </row>
    <row r="10">
      <c r="A10" s="9" t="inlineStr">
        <is>
          <t>CORE+OPTIONAL</t>
        </is>
      </c>
      <c r="D10" s="14">
        <f>D5+D6</f>
        <v/>
      </c>
    </row>
    <row r="12">
      <c r="A12" s="3" t="inlineStr">
        <is>
          <t>Recommendation: run CORE (DPO+RLAIF x3 families x2 extra seeds). At n=2 that is ~$10, trivial.</t>
        </is>
      </c>
    </row>
    <row r="13">
      <c r="A13" s="3" t="inlineStr">
        <is>
          <t>Report mean ± sd across the 3 seeds for judge score AND fabrication rate — this is what makes</t>
        </is>
      </c>
    </row>
    <row r="14">
      <c r="A14" s="3" t="inlineStr">
        <is>
          <t>Experiment 4 (fabrication) and the alignment deltas bulletproof. Launch first (longest wall-clock,</t>
        </is>
      </c>
    </row>
    <row r="15">
      <c r="A15" s="3" t="inlineStr">
        <is>
          <t>runs unattended on Modal). Skip Gemma-SFT/RAFT and pretraining seeding unless asked.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1" t="inlineStr">
        <is>
          <t>What the experiment_playbook.html / mentor message said about seeding (Exp 5)</t>
        </is>
      </c>
    </row>
    <row r="2">
      <c r="A2" s="2" t="inlineStr">
        <is>
          <t>Verbatim intent from the webpage + priority message, for comparison with Claude's recommendation.</t>
        </is>
      </c>
    </row>
    <row r="4">
      <c r="A4" s="8" t="inlineStr">
        <is>
          <t>Aspect</t>
        </is>
      </c>
      <c r="B4" s="8" t="inlineStr">
        <is>
          <t>Playbook / mentor said</t>
        </is>
      </c>
      <c r="C4" s="8" t="inlineStr">
        <is>
          <t>Claude's take</t>
        </is>
      </c>
    </row>
    <row r="5" ht="40" customHeight="1">
      <c r="A5" s="9" t="inlineStr">
        <is>
          <t>Which stages</t>
        </is>
      </c>
      <c r="B5" s="16" t="inlineStr">
        <is>
          <t>DPO and RLAIF (the stages that matter most)</t>
        </is>
      </c>
      <c r="C5" s="16" t="inlineStr">
        <is>
          <t>Agree — plus optionally cheap 125M/500M SFT+RAFT.</t>
        </is>
      </c>
    </row>
    <row r="6" ht="40" customHeight="1">
      <c r="A6" s="9" t="inlineStr">
        <is>
          <t>Which sizes</t>
        </is>
      </c>
      <c r="B6" s="16" t="inlineStr">
        <is>
          <t>'the key model sizes' (unspecified)</t>
        </is>
      </c>
      <c r="C6" s="16" t="inlineStr">
        <is>
          <t>Do all 3 families for the core — it's only ~$10.</t>
        </is>
      </c>
    </row>
    <row r="7" ht="40" customHeight="1">
      <c r="A7" s="9" t="inlineStr">
        <is>
          <t>How many seeds</t>
        </is>
      </c>
      <c r="B7" s="16" t="inlineStr">
        <is>
          <t>re-run each 2 more times (3 total), report mean ± sd</t>
        </is>
      </c>
      <c r="C7" s="16" t="inlineStr">
        <is>
          <t>Agree — 3 total (2 extra).</t>
        </is>
      </c>
    </row>
    <row r="8" ht="40" customHeight="1">
      <c r="A8" s="9" t="inlineStr">
        <is>
          <t>Priority</t>
        </is>
      </c>
      <c r="B8" s="16" t="inlineStr">
        <is>
          <t>Tier 2 booster / OPTIONAL; 'lowest ROI, biggest deadline risk; SKIP unless everything else done'</t>
        </is>
      </c>
      <c r="C8" s="16" t="inlineStr">
        <is>
          <t>With no deadline the risk vanishes — PROMOTE to launch-first background job.</t>
        </is>
      </c>
    </row>
    <row r="9" ht="40" customHeight="1">
      <c r="A9" s="9" t="inlineStr">
        <is>
          <t>Cost</t>
        </is>
      </c>
      <c r="B9" s="16" t="inlineStr">
        <is>
          <t>~$10–30</t>
        </is>
      </c>
      <c r="C9" s="16" t="inlineStr">
        <is>
          <t>Core (DPO+RLAIF x3 x2) ≈ $10 (matches low end). Adding Gemma SFT/RAFT pushes toward the high end.</t>
        </is>
      </c>
    </row>
    <row r="10" ht="40" customHeight="1">
      <c r="A10" s="9" t="inlineStr">
        <is>
          <t>Wall-clock</t>
        </is>
      </c>
      <c r="B10" s="16" t="inlineStr">
        <is>
          <t>3–6 days unattended on Modal</t>
        </is>
      </c>
      <c r="C10" s="16" t="inlineStr">
        <is>
          <t>Consistent; alignment runs are short, so mostly queue/startup + PPO.</t>
        </is>
      </c>
    </row>
    <row r="11" ht="40" customHeight="1">
      <c r="A11" s="9" t="inlineStr">
        <is>
          <t>When</t>
        </is>
      </c>
      <c r="B11" s="16" t="inlineStr">
        <is>
          <t>launch early so it finishes in the background</t>
        </is>
      </c>
      <c r="C11" s="16" t="inlineStr">
        <is>
          <t>Agree — it's the longest pole; start it on day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2026-08-02T17:48:26Z</dcterms:created>
  <dcterms:modified xsi:type="dcterms:W3CDTF">2026-08-02T17:48:26Z</dcterms:modified>
</cp:coreProperties>
</file>